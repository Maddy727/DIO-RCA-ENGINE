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_Impact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Synthetic input. Same SKU_ID uses the same Unit_Cost across every store it appears in.</t>
        </r>
      </text>
    </comment>
    <comment ref="D1" authorId="0">
      <text>
        <r>
          <rPr>
            <sz val="10"/>
            <rFont val="Arial"/>
            <family val="2"/>
          </rPr>
          <t xml:space="preserve">Synthetic input, derived from Unit_Cost and a category-realistic gross-margin range, with a small Store_Format price premium (Express +5%, Metro +2%, Hypermarket/Superstore baseline).</t>
        </r>
      </text>
    </comment>
    <comment ref="G1" authorId="0">
      <text>
        <r>
          <rPr>
            <sz val="10"/>
            <rFont val="Arial"/>
            <family val="2"/>
          </rPr>
          <t xml:space="preserve">Synthetic input, generated at Row-ID(SKU-Store) x category x store-format weekly-sales-rate x S01_Weeks_Cover, so it is internally consistent with the Weeks Cover definition (Weeks Cover = Stock / Average Weekly Sales). Blue font = synthetic input.</t>
        </r>
      </text>
    </comment>
    <comment ref="H1" authorId="0">
      <text>
        <r>
          <rPr>
            <sz val="10"/>
            <rFont val="Arial"/>
            <family val="2"/>
          </rPr>
          <t xml:space="preserve">Target_Stock_Units = Current_Stock_Units x (S01_Weeks_Cover_Target / S01_Weeks_Cover), calculated at generation time from Sample_RCA_Data.xlsx. Not a live Excel formula in this file because S01_Weeks_Cover and S01_Weeks_Cover_Target live in Sample_RCA_Data.xlsx, not in this workbook (kept to exactly the 10 specified columns, per instruction). If Sample_RCA_Data changes, this file must be regenerated. Row 51 (SKU_FRSH_P01) is a documented special case: S01_Weeks_Cover = 0, so Current/Target/Excess Units and Excess Value are all set to 0.</t>
        </r>
      </text>
    </comment>
  </commentList>
</comments>
</file>

<file path=xl/sharedStrings.xml><?xml version="1.0" encoding="utf-8"?>
<sst xmlns="http://schemas.openxmlformats.org/spreadsheetml/2006/main" count="150" uniqueCount="150">
  <si>
    <t xml:space="preserve">SKU_ID</t>
  </si>
  <si>
    <t xml:space="preserve">Store_ID</t>
  </si>
  <si>
    <t xml:space="preserve">Unit_Cost</t>
  </si>
  <si>
    <t xml:space="preserve">Unit_Price</t>
  </si>
  <si>
    <t xml:space="preserve">Gross_Margin_Per_Unit</t>
  </si>
  <si>
    <t xml:space="preserve">Gross_Margin_Pct</t>
  </si>
  <si>
    <t xml:space="preserve">Current_Stock_Units</t>
  </si>
  <si>
    <t xml:space="preserve">Target_Stock_Units</t>
  </si>
  <si>
    <t xml:space="preserve">Excess_Units</t>
  </si>
  <si>
    <t xml:space="preserve">Excess_Value</t>
  </si>
  <si>
    <t xml:space="preserve">SKU_BWS_001</t>
  </si>
  <si>
    <t xml:space="preserve">TS1001</t>
  </si>
  <si>
    <t xml:space="preserve">SKU_SEAS_001</t>
  </si>
  <si>
    <t xml:space="preserve">TS1042</t>
  </si>
  <si>
    <t xml:space="preserve">SKU_AMB_001</t>
  </si>
  <si>
    <t xml:space="preserve">TS1088</t>
  </si>
  <si>
    <t xml:space="preserve">SKU_FRZ_001</t>
  </si>
  <si>
    <t xml:space="preserve">TS1060</t>
  </si>
  <si>
    <t xml:space="preserve">SKU_BWS_002</t>
  </si>
  <si>
    <t xml:space="preserve">TS1010</t>
  </si>
  <si>
    <t xml:space="preserve">SKU_SEAS_002</t>
  </si>
  <si>
    <t xml:space="preserve">TS1022</t>
  </si>
  <si>
    <t xml:space="preserve">SKU_AMB_002</t>
  </si>
  <si>
    <t xml:space="preserve">TS1005</t>
  </si>
  <si>
    <t xml:space="preserve">SKU_FRSH_001</t>
  </si>
  <si>
    <t xml:space="preserve">TS1015</t>
  </si>
  <si>
    <t xml:space="preserve">SKU_HB_001</t>
  </si>
  <si>
    <t xml:space="preserve">TS1033</t>
  </si>
  <si>
    <t xml:space="preserve">SKU_CHD_001</t>
  </si>
  <si>
    <t xml:space="preserve">TS1055</t>
  </si>
  <si>
    <t xml:space="preserve">SKU_BWS_003</t>
  </si>
  <si>
    <t xml:space="preserve">TS1020</t>
  </si>
  <si>
    <t xml:space="preserve">SKU_SEAS_003</t>
  </si>
  <si>
    <t xml:space="preserve">TS1038</t>
  </si>
  <si>
    <t xml:space="preserve">SKU_HB_002</t>
  </si>
  <si>
    <t xml:space="preserve">TS1044</t>
  </si>
  <si>
    <t xml:space="preserve">SKU_FRZ_002</t>
  </si>
  <si>
    <t xml:space="preserve">TS1052</t>
  </si>
  <si>
    <t xml:space="preserve">SKU_AMB_003</t>
  </si>
  <si>
    <t xml:space="preserve">TS1066</t>
  </si>
  <si>
    <t xml:space="preserve">SKU_BWS_004</t>
  </si>
  <si>
    <t xml:space="preserve">TS1025</t>
  </si>
  <si>
    <t xml:space="preserve">SKU_SEAS_004</t>
  </si>
  <si>
    <t xml:space="preserve">TS1041</t>
  </si>
  <si>
    <t xml:space="preserve">SKU_BWS_005</t>
  </si>
  <si>
    <t xml:space="preserve">TS1012</t>
  </si>
  <si>
    <t xml:space="preserve">SKU_HB_003</t>
  </si>
  <si>
    <t xml:space="preserve">TS1031</t>
  </si>
  <si>
    <t xml:space="preserve">SKU_AMB_004</t>
  </si>
  <si>
    <t xml:space="preserve">TS1070</t>
  </si>
  <si>
    <t xml:space="preserve">SKU_SEAS_005</t>
  </si>
  <si>
    <t xml:space="preserve">TS1078</t>
  </si>
  <si>
    <t xml:space="preserve">SKU_FRZ_003</t>
  </si>
  <si>
    <t xml:space="preserve">TS1048</t>
  </si>
  <si>
    <t xml:space="preserve">SKU_SEAS_006</t>
  </si>
  <si>
    <t xml:space="preserve">TS1035</t>
  </si>
  <si>
    <t xml:space="preserve">SKU_BWS_006</t>
  </si>
  <si>
    <t xml:space="preserve">TS1018</t>
  </si>
  <si>
    <t xml:space="preserve">SKU_SEAS_007</t>
  </si>
  <si>
    <t xml:space="preserve">TS1062</t>
  </si>
  <si>
    <t xml:space="preserve">SKU_SEAS_008</t>
  </si>
  <si>
    <t xml:space="preserve">TS1045</t>
  </si>
  <si>
    <t xml:space="preserve">SKU_SEAS_009</t>
  </si>
  <si>
    <t xml:space="preserve">TS1057</t>
  </si>
  <si>
    <t xml:space="preserve">SKU_SEAS_010</t>
  </si>
  <si>
    <t xml:space="preserve">TS1072</t>
  </si>
  <si>
    <t xml:space="preserve">SKU_SEAS_011</t>
  </si>
  <si>
    <t xml:space="preserve">TS1080</t>
  </si>
  <si>
    <t xml:space="preserve">SKU_CHD_002</t>
  </si>
  <si>
    <t xml:space="preserve">TS1008</t>
  </si>
  <si>
    <t xml:space="preserve">SKU_AMB_005</t>
  </si>
  <si>
    <t xml:space="preserve">TS1027</t>
  </si>
  <si>
    <t xml:space="preserve">SKU_HB_004</t>
  </si>
  <si>
    <t xml:space="preserve">TS1039</t>
  </si>
  <si>
    <t xml:space="preserve">SKU_BWS_007</t>
  </si>
  <si>
    <t xml:space="preserve">TS1054</t>
  </si>
  <si>
    <t xml:space="preserve">SKU_FRSH_002</t>
  </si>
  <si>
    <t xml:space="preserve">TS1063</t>
  </si>
  <si>
    <t xml:space="preserve">SKU_AMB_006</t>
  </si>
  <si>
    <t xml:space="preserve">TS1017</t>
  </si>
  <si>
    <t xml:space="preserve">SKU_HB_005</t>
  </si>
  <si>
    <t xml:space="preserve">TS1029</t>
  </si>
  <si>
    <t xml:space="preserve">SKU_FRZ_004</t>
  </si>
  <si>
    <t xml:space="preserve">TS1050</t>
  </si>
  <si>
    <t xml:space="preserve">SKU_CHD_003</t>
  </si>
  <si>
    <t xml:space="preserve">TS1009</t>
  </si>
  <si>
    <t xml:space="preserve">SKU_AMB_007</t>
  </si>
  <si>
    <t xml:space="preserve">TS1046</t>
  </si>
  <si>
    <t xml:space="preserve">SKU_FRZ_005</t>
  </si>
  <si>
    <t xml:space="preserve">TS1058</t>
  </si>
  <si>
    <t xml:space="preserve">SKU_HB_006</t>
  </si>
  <si>
    <t xml:space="preserve">TS1036</t>
  </si>
  <si>
    <t xml:space="preserve">SKU_CHD_004</t>
  </si>
  <si>
    <t xml:space="preserve">TS1013</t>
  </si>
  <si>
    <t xml:space="preserve">SKU_BAK_001</t>
  </si>
  <si>
    <t xml:space="preserve">TS1024</t>
  </si>
  <si>
    <t xml:space="preserve">SKU_AMB_008</t>
  </si>
  <si>
    <t xml:space="preserve">TS1076</t>
  </si>
  <si>
    <t xml:space="preserve">SKU_CHD_005</t>
  </si>
  <si>
    <t xml:space="preserve">TS1019</t>
  </si>
  <si>
    <t xml:space="preserve">SKU_AMB_009</t>
  </si>
  <si>
    <t xml:space="preserve">TS1043</t>
  </si>
  <si>
    <t xml:space="preserve">SKU_HB_007</t>
  </si>
  <si>
    <t xml:space="preserve">TS1032</t>
  </si>
  <si>
    <t xml:space="preserve">SKU_FRZ_006</t>
  </si>
  <si>
    <t xml:space="preserve">TS1064</t>
  </si>
  <si>
    <t xml:space="preserve">SKU_AMB_010</t>
  </si>
  <si>
    <t xml:space="preserve">TS1082</t>
  </si>
  <si>
    <t xml:space="preserve">SKU_CHD_006</t>
  </si>
  <si>
    <t xml:space="preserve">TS1090</t>
  </si>
  <si>
    <t xml:space="preserve">SKU_FRSH_P01</t>
  </si>
  <si>
    <t xml:space="preserve">TS2001</t>
  </si>
  <si>
    <t xml:space="preserve">SKU_BAK_P01</t>
  </si>
  <si>
    <t xml:space="preserve">TS2002</t>
  </si>
  <si>
    <t xml:space="preserve">SKU_FRSH_P02</t>
  </si>
  <si>
    <t xml:space="preserve">TS2003</t>
  </si>
  <si>
    <t xml:space="preserve">SKU_CHD_P01</t>
  </si>
  <si>
    <t xml:space="preserve">TS2004</t>
  </si>
  <si>
    <t xml:space="preserve">SKU_FRSH_P03</t>
  </si>
  <si>
    <t xml:space="preserve">TS2005</t>
  </si>
  <si>
    <t xml:space="preserve">SKU_FRSH_P04</t>
  </si>
  <si>
    <t xml:space="preserve">TS2006</t>
  </si>
  <si>
    <t xml:space="preserve">SKU_FRSH_P05</t>
  </si>
  <si>
    <t xml:space="preserve">TS2007</t>
  </si>
  <si>
    <t xml:space="preserve">SKU_FRSH_P06</t>
  </si>
  <si>
    <t xml:space="preserve">TS2008</t>
  </si>
  <si>
    <t xml:space="preserve">SKU_CHD_P02</t>
  </si>
  <si>
    <t xml:space="preserve">TS2009</t>
  </si>
  <si>
    <t xml:space="preserve">SKU_CHD_P03</t>
  </si>
  <si>
    <t xml:space="preserve">TS2010</t>
  </si>
  <si>
    <t xml:space="preserve">SKU_CHD_P04</t>
  </si>
  <si>
    <t xml:space="preserve">TS2011</t>
  </si>
  <si>
    <t xml:space="preserve">SKU_FRSH_P07</t>
  </si>
  <si>
    <t xml:space="preserve">TS2012</t>
  </si>
  <si>
    <t xml:space="preserve">SKU_BAK_P02</t>
  </si>
  <si>
    <t xml:space="preserve">TS2013</t>
  </si>
  <si>
    <t xml:space="preserve">SKU_CHD_P05</t>
  </si>
  <si>
    <t xml:space="preserve">TS2014</t>
  </si>
  <si>
    <t xml:space="preserve">SKU_FRSH_P08</t>
  </si>
  <si>
    <t xml:space="preserve">TS2015</t>
  </si>
  <si>
    <t xml:space="preserve">SKU_FRSH_P09</t>
  </si>
  <si>
    <t xml:space="preserve">TS2016</t>
  </si>
  <si>
    <t xml:space="preserve">SKU_CHD_P06</t>
  </si>
  <si>
    <t xml:space="preserve">TS2017</t>
  </si>
  <si>
    <t xml:space="preserve">SKU_FRSH_P10</t>
  </si>
  <si>
    <t xml:space="preserve">TS2018</t>
  </si>
  <si>
    <t xml:space="preserve">SKU_CHD_P07</t>
  </si>
  <si>
    <t xml:space="preserve">TS2019</t>
  </si>
  <si>
    <t xml:space="preserve">SKU_FRSH_P11</t>
  </si>
  <si>
    <t xml:space="preserve">TS2020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</si>
</sst>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"/>
    <numFmt numFmtId="166" formatCode="0.0%"/>
    <numFmt numFmtId="167" formatCode="#,##0"/>
    <numFmt numFmtId="168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n">
        <v>10.75</v>
      </c>
      <c r="D2" s="3" t="n">
        <v>15.87</v>
      </c>
      <c r="E2" s="4" t="n">
        <f aca="false">D2-C2</f>
        <v>5.12</v>
      </c>
      <c r="F2" s="5" t="n">
        <f aca="false">E2/D2</f>
        <v>0.322621298046629</v>
      </c>
      <c r="G2" s="6" t="n">
        <v>282</v>
      </c>
      <c r="H2" s="7" t="n">
        <v>188</v>
      </c>
      <c r="I2" s="8" t="n">
        <f aca="false">MAX(G2-H2,0)</f>
        <v>94</v>
      </c>
      <c r="J2" s="4" t="n">
        <f aca="false">I2*C2</f>
        <v>1010.5</v>
      </c>
    </row>
    <row r="3" customFormat="false" ht="15" hidden="false" customHeight="false" outlineLevel="0" collapsed="false">
      <c r="A3" s="2" t="s">
        <v>12</v>
      </c>
      <c r="B3" s="2" t="s">
        <v>13</v>
      </c>
      <c r="C3" s="3" t="n">
        <v>11.84</v>
      </c>
      <c r="D3" s="3" t="n">
        <v>20.74</v>
      </c>
      <c r="E3" s="4" t="n">
        <f aca="false">D3-C3</f>
        <v>8.9</v>
      </c>
      <c r="F3" s="5" t="n">
        <f aca="false">E3/D3</f>
        <v>0.429122468659595</v>
      </c>
      <c r="G3" s="6" t="n">
        <v>116</v>
      </c>
      <c r="H3" s="7" t="n">
        <v>64.44</v>
      </c>
      <c r="I3" s="8" t="n">
        <f aca="false">MAX(G3-H3,0)</f>
        <v>51.56</v>
      </c>
      <c r="J3" s="4" t="n">
        <f aca="false">I3*C3</f>
        <v>610.4704</v>
      </c>
    </row>
    <row r="4" customFormat="false" ht="15" hidden="false" customHeight="false" outlineLevel="0" collapsed="false">
      <c r="A4" s="2" t="s">
        <v>14</v>
      </c>
      <c r="B4" s="2" t="s">
        <v>15</v>
      </c>
      <c r="C4" s="3" t="n">
        <v>1.4</v>
      </c>
      <c r="D4" s="3" t="n">
        <v>2.05</v>
      </c>
      <c r="E4" s="4" t="n">
        <f aca="false">D4-C4</f>
        <v>0.65</v>
      </c>
      <c r="F4" s="5" t="n">
        <f aca="false">E4/D4</f>
        <v>0.317073170731707</v>
      </c>
      <c r="G4" s="6" t="n">
        <v>82</v>
      </c>
      <c r="H4" s="7" t="n">
        <v>58.57</v>
      </c>
      <c r="I4" s="8" t="n">
        <f aca="false">MAX(G4-H4,0)</f>
        <v>23.43</v>
      </c>
      <c r="J4" s="4" t="n">
        <f aca="false">I4*C4</f>
        <v>32.802</v>
      </c>
    </row>
    <row r="5" customFormat="false" ht="15" hidden="false" customHeight="false" outlineLevel="0" collapsed="false">
      <c r="A5" s="2" t="s">
        <v>16</v>
      </c>
      <c r="B5" s="2" t="s">
        <v>17</v>
      </c>
      <c r="C5" s="3" t="n">
        <v>1.09</v>
      </c>
      <c r="D5" s="3" t="n">
        <v>1.55</v>
      </c>
      <c r="E5" s="4" t="n">
        <f aca="false">D5-C5</f>
        <v>0.46</v>
      </c>
      <c r="F5" s="5" t="n">
        <f aca="false">E5/D5</f>
        <v>0.296774193548387</v>
      </c>
      <c r="G5" s="6" t="n">
        <v>1029</v>
      </c>
      <c r="H5" s="7" t="n">
        <v>294</v>
      </c>
      <c r="I5" s="8" t="n">
        <f aca="false">MAX(G5-H5,0)</f>
        <v>735</v>
      </c>
      <c r="J5" s="4" t="n">
        <f aca="false">I5*C5</f>
        <v>801.15</v>
      </c>
    </row>
    <row r="6" customFormat="false" ht="15" hidden="false" customHeight="false" outlineLevel="0" collapsed="false">
      <c r="A6" s="2" t="s">
        <v>18</v>
      </c>
      <c r="B6" s="2" t="s">
        <v>19</v>
      </c>
      <c r="C6" s="3" t="n">
        <v>6.98</v>
      </c>
      <c r="D6" s="3" t="n">
        <v>11.24</v>
      </c>
      <c r="E6" s="4" t="n">
        <f aca="false">D6-C6</f>
        <v>4.26</v>
      </c>
      <c r="F6" s="5" t="n">
        <f aca="false">E6/D6</f>
        <v>0.379003558718861</v>
      </c>
      <c r="G6" s="6" t="n">
        <v>365</v>
      </c>
      <c r="H6" s="7" t="n">
        <v>265.45</v>
      </c>
      <c r="I6" s="8" t="n">
        <f aca="false">MAX(G6-H6,0)</f>
        <v>99.55</v>
      </c>
      <c r="J6" s="4" t="n">
        <f aca="false">I6*C6</f>
        <v>694.859</v>
      </c>
    </row>
    <row r="7" customFormat="false" ht="15" hidden="false" customHeight="false" outlineLevel="0" collapsed="false">
      <c r="A7" s="2" t="s">
        <v>20</v>
      </c>
      <c r="B7" s="2" t="s">
        <v>21</v>
      </c>
      <c r="C7" s="3" t="n">
        <v>12.67</v>
      </c>
      <c r="D7" s="3" t="n">
        <v>21.84</v>
      </c>
      <c r="E7" s="4" t="n">
        <f aca="false">D7-C7</f>
        <v>9.17</v>
      </c>
      <c r="F7" s="5" t="n">
        <f aca="false">E7/D7</f>
        <v>0.419871794871795</v>
      </c>
      <c r="G7" s="6" t="n">
        <v>112</v>
      </c>
      <c r="H7" s="7" t="n">
        <v>63.23</v>
      </c>
      <c r="I7" s="8" t="n">
        <f aca="false">MAX(G7-H7,0)</f>
        <v>48.77</v>
      </c>
      <c r="J7" s="4" t="n">
        <f aca="false">I7*C7</f>
        <v>617.9159</v>
      </c>
    </row>
    <row r="8" customFormat="false" ht="15" hidden="false" customHeight="false" outlineLevel="0" collapsed="false">
      <c r="A8" s="2" t="s">
        <v>22</v>
      </c>
      <c r="B8" s="2" t="s">
        <v>23</v>
      </c>
      <c r="C8" s="3" t="n">
        <v>2.42</v>
      </c>
      <c r="D8" s="3" t="n">
        <v>3.47</v>
      </c>
      <c r="E8" s="4" t="n">
        <f aca="false">D8-C8</f>
        <v>1.05</v>
      </c>
      <c r="F8" s="5" t="n">
        <f aca="false">E8/D8</f>
        <v>0.302593659942363</v>
      </c>
      <c r="G8" s="6" t="n">
        <v>461</v>
      </c>
      <c r="H8" s="7" t="n">
        <v>288.12</v>
      </c>
      <c r="I8" s="8" t="n">
        <f aca="false">MAX(G8-H8,0)</f>
        <v>172.88</v>
      </c>
      <c r="J8" s="4" t="n">
        <f aca="false">I8*C8</f>
        <v>418.3696</v>
      </c>
    </row>
    <row r="9" customFormat="false" ht="15" hidden="false" customHeight="false" outlineLevel="0" collapsed="false">
      <c r="A9" s="2" t="s">
        <v>24</v>
      </c>
      <c r="B9" s="2" t="s">
        <v>25</v>
      </c>
      <c r="C9" s="3" t="n">
        <v>2.19</v>
      </c>
      <c r="D9" s="3" t="n">
        <v>3.11</v>
      </c>
      <c r="E9" s="4" t="n">
        <f aca="false">D9-C9</f>
        <v>0.92</v>
      </c>
      <c r="F9" s="5" t="n">
        <f aca="false">E9/D9</f>
        <v>0.295819935691318</v>
      </c>
      <c r="G9" s="6" t="n">
        <v>109</v>
      </c>
      <c r="H9" s="7" t="n">
        <v>51.09</v>
      </c>
      <c r="I9" s="8" t="n">
        <f aca="false">MAX(G9-H9,0)</f>
        <v>57.91</v>
      </c>
      <c r="J9" s="4" t="n">
        <f aca="false">I9*C9</f>
        <v>126.8229</v>
      </c>
    </row>
    <row r="10" customFormat="false" ht="15" hidden="false" customHeight="false" outlineLevel="0" collapsed="false">
      <c r="A10" s="2" t="s">
        <v>26</v>
      </c>
      <c r="B10" s="2" t="s">
        <v>27</v>
      </c>
      <c r="C10" s="3" t="n">
        <v>4.59</v>
      </c>
      <c r="D10" s="3" t="n">
        <v>8.96</v>
      </c>
      <c r="E10" s="4" t="n">
        <f aca="false">D10-C10</f>
        <v>4.37</v>
      </c>
      <c r="F10" s="5" t="n">
        <f aca="false">E10/D10</f>
        <v>0.487723214285714</v>
      </c>
      <c r="G10" s="6" t="n">
        <v>76</v>
      </c>
      <c r="H10" s="7" t="n">
        <v>47.5</v>
      </c>
      <c r="I10" s="8" t="n">
        <f aca="false">MAX(G10-H10,0)</f>
        <v>28.5</v>
      </c>
      <c r="J10" s="4" t="n">
        <f aca="false">I10*C10</f>
        <v>130.815</v>
      </c>
    </row>
    <row r="11" customFormat="false" ht="15" hidden="false" customHeight="false" outlineLevel="0" collapsed="false">
      <c r="A11" s="2" t="s">
        <v>28</v>
      </c>
      <c r="B11" s="2" t="s">
        <v>29</v>
      </c>
      <c r="C11" s="3" t="n">
        <v>2.44</v>
      </c>
      <c r="D11" s="3" t="n">
        <v>3.48</v>
      </c>
      <c r="E11" s="4" t="n">
        <f aca="false">D11-C11</f>
        <v>1.04</v>
      </c>
      <c r="F11" s="5" t="n">
        <f aca="false">E11/D11</f>
        <v>0.298850574712644</v>
      </c>
      <c r="G11" s="6" t="n">
        <v>442</v>
      </c>
      <c r="H11" s="7" t="n">
        <v>340</v>
      </c>
      <c r="I11" s="8" t="n">
        <f aca="false">MAX(G11-H11,0)</f>
        <v>102</v>
      </c>
      <c r="J11" s="4" t="n">
        <f aca="false">I11*C11</f>
        <v>248.88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3" t="n">
        <v>11.34</v>
      </c>
      <c r="D12" s="3" t="n">
        <v>16.79</v>
      </c>
      <c r="E12" s="4" t="n">
        <f aca="false">D12-C12</f>
        <v>5.45</v>
      </c>
      <c r="F12" s="5" t="n">
        <f aca="false">E12/D12</f>
        <v>0.32459797498511</v>
      </c>
      <c r="G12" s="6" t="n">
        <v>326</v>
      </c>
      <c r="H12" s="7" t="n">
        <v>146.52</v>
      </c>
      <c r="I12" s="8" t="n">
        <f aca="false">MAX(G12-H12,0)</f>
        <v>179.48</v>
      </c>
      <c r="J12" s="4" t="n">
        <f aca="false">I12*C12</f>
        <v>2035.3032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3" t="n">
        <v>3.96</v>
      </c>
      <c r="D13" s="3" t="n">
        <v>6.32</v>
      </c>
      <c r="E13" s="4" t="n">
        <f aca="false">D13-C13</f>
        <v>2.36</v>
      </c>
      <c r="F13" s="5" t="n">
        <f aca="false">E13/D13</f>
        <v>0.373417721518987</v>
      </c>
      <c r="G13" s="6" t="n">
        <v>109</v>
      </c>
      <c r="H13" s="7" t="n">
        <v>60.56</v>
      </c>
      <c r="I13" s="8" t="n">
        <f aca="false">MAX(G13-H13,0)</f>
        <v>48.44</v>
      </c>
      <c r="J13" s="4" t="n">
        <f aca="false">I13*C13</f>
        <v>191.8224</v>
      </c>
    </row>
    <row r="14" customFormat="false" ht="15" hidden="false" customHeight="false" outlineLevel="0" collapsed="false">
      <c r="A14" s="2" t="s">
        <v>34</v>
      </c>
      <c r="B14" s="2" t="s">
        <v>35</v>
      </c>
      <c r="C14" s="3" t="n">
        <v>5.11</v>
      </c>
      <c r="D14" s="3" t="n">
        <v>8.93</v>
      </c>
      <c r="E14" s="4" t="n">
        <f aca="false">D14-C14</f>
        <v>3.82</v>
      </c>
      <c r="F14" s="5" t="n">
        <f aca="false">E14/D14</f>
        <v>0.427771556550952</v>
      </c>
      <c r="G14" s="6" t="n">
        <v>82</v>
      </c>
      <c r="H14" s="7" t="n">
        <v>42.41</v>
      </c>
      <c r="I14" s="8" t="n">
        <f aca="false">MAX(G14-H14,0)</f>
        <v>39.59</v>
      </c>
      <c r="J14" s="4" t="n">
        <f aca="false">I14*C14</f>
        <v>202.3049</v>
      </c>
    </row>
    <row r="15" customFormat="false" ht="15" hidden="false" customHeight="false" outlineLevel="0" collapsed="false">
      <c r="A15" s="2" t="s">
        <v>36</v>
      </c>
      <c r="B15" s="2" t="s">
        <v>37</v>
      </c>
      <c r="C15" s="3" t="n">
        <v>1.93</v>
      </c>
      <c r="D15" s="3" t="n">
        <v>2.99</v>
      </c>
      <c r="E15" s="4" t="n">
        <f aca="false">D15-C15</f>
        <v>1.06</v>
      </c>
      <c r="F15" s="5" t="n">
        <f aca="false">E15/D15</f>
        <v>0.354515050167224</v>
      </c>
      <c r="G15" s="6" t="n">
        <v>479</v>
      </c>
      <c r="H15" s="7" t="n">
        <v>261.95</v>
      </c>
      <c r="I15" s="8" t="n">
        <f aca="false">MAX(G15-H15,0)</f>
        <v>217.05</v>
      </c>
      <c r="J15" s="4" t="n">
        <f aca="false">I15*C15</f>
        <v>418.9065</v>
      </c>
    </row>
    <row r="16" customFormat="false" ht="15" hidden="false" customHeight="false" outlineLevel="0" collapsed="false">
      <c r="A16" s="2" t="s">
        <v>38</v>
      </c>
      <c r="B16" s="2" t="s">
        <v>39</v>
      </c>
      <c r="C16" s="3" t="n">
        <v>0.93</v>
      </c>
      <c r="D16" s="3" t="n">
        <v>1.46</v>
      </c>
      <c r="E16" s="4" t="n">
        <f aca="false">D16-C16</f>
        <v>0.53</v>
      </c>
      <c r="F16" s="5" t="n">
        <f aca="false">E16/D16</f>
        <v>0.363013698630137</v>
      </c>
      <c r="G16" s="6" t="n">
        <v>113</v>
      </c>
      <c r="H16" s="7" t="n">
        <v>53.81</v>
      </c>
      <c r="I16" s="8" t="n">
        <f aca="false">MAX(G16-H16,0)</f>
        <v>59.19</v>
      </c>
      <c r="J16" s="4" t="n">
        <f aca="false">I16*C16</f>
        <v>55.0467</v>
      </c>
    </row>
    <row r="17" customFormat="false" ht="15" hidden="false" customHeight="false" outlineLevel="0" collapsed="false">
      <c r="A17" s="2" t="s">
        <v>40</v>
      </c>
      <c r="B17" s="2" t="s">
        <v>41</v>
      </c>
      <c r="C17" s="3" t="n">
        <v>13.91</v>
      </c>
      <c r="D17" s="3" t="n">
        <v>22.58</v>
      </c>
      <c r="E17" s="4" t="n">
        <f aca="false">D17-C17</f>
        <v>8.67</v>
      </c>
      <c r="F17" s="5" t="n">
        <f aca="false">E17/D17</f>
        <v>0.383968113374668</v>
      </c>
      <c r="G17" s="6" t="n">
        <v>634</v>
      </c>
      <c r="H17" s="7" t="n">
        <v>275.65</v>
      </c>
      <c r="I17" s="8" t="n">
        <f aca="false">MAX(G17-H17,0)</f>
        <v>358.35</v>
      </c>
      <c r="J17" s="4" t="n">
        <f aca="false">I17*C17</f>
        <v>4984.6485</v>
      </c>
    </row>
    <row r="18" customFormat="false" ht="15" hidden="false" customHeight="false" outlineLevel="0" collapsed="false">
      <c r="A18" s="2" t="s">
        <v>42</v>
      </c>
      <c r="B18" s="2" t="s">
        <v>43</v>
      </c>
      <c r="C18" s="3" t="n">
        <v>13.11</v>
      </c>
      <c r="D18" s="3" t="n">
        <v>22.9</v>
      </c>
      <c r="E18" s="4" t="n">
        <f aca="false">D18-C18</f>
        <v>9.79</v>
      </c>
      <c r="F18" s="5" t="n">
        <f aca="false">E18/D18</f>
        <v>0.427510917030568</v>
      </c>
      <c r="G18" s="6" t="n">
        <v>160</v>
      </c>
      <c r="H18" s="7" t="n">
        <v>58.18</v>
      </c>
      <c r="I18" s="8" t="n">
        <f aca="false">MAX(G18-H18,0)</f>
        <v>101.82</v>
      </c>
      <c r="J18" s="4" t="n">
        <f aca="false">I18*C18</f>
        <v>1334.8602</v>
      </c>
    </row>
    <row r="19" customFormat="false" ht="15" hidden="false" customHeight="false" outlineLevel="0" collapsed="false">
      <c r="A19" s="2" t="s">
        <v>44</v>
      </c>
      <c r="B19" s="2" t="s">
        <v>45</v>
      </c>
      <c r="C19" s="3" t="n">
        <v>7.84</v>
      </c>
      <c r="D19" s="3" t="n">
        <v>12</v>
      </c>
      <c r="E19" s="4" t="n">
        <f aca="false">D19-C19</f>
        <v>4.16</v>
      </c>
      <c r="F19" s="5" t="n">
        <f aca="false">E19/D19</f>
        <v>0.346666666666667</v>
      </c>
      <c r="G19" s="6" t="n">
        <v>366</v>
      </c>
      <c r="H19" s="7" t="n">
        <v>174.29</v>
      </c>
      <c r="I19" s="8" t="n">
        <f aca="false">MAX(G19-H19,0)</f>
        <v>191.71</v>
      </c>
      <c r="J19" s="4" t="n">
        <f aca="false">I19*C19</f>
        <v>1503.0064</v>
      </c>
    </row>
    <row r="20" customFormat="false" ht="15" hidden="false" customHeight="false" outlineLevel="0" collapsed="false">
      <c r="A20" s="2" t="s">
        <v>46</v>
      </c>
      <c r="B20" s="2" t="s">
        <v>47</v>
      </c>
      <c r="C20" s="3" t="n">
        <v>6.36</v>
      </c>
      <c r="D20" s="3" t="n">
        <v>11.02</v>
      </c>
      <c r="E20" s="4" t="n">
        <f aca="false">D20-C20</f>
        <v>4.66</v>
      </c>
      <c r="F20" s="5" t="n">
        <f aca="false">E20/D20</f>
        <v>0.422867513611615</v>
      </c>
      <c r="G20" s="6" t="n">
        <v>96</v>
      </c>
      <c r="H20" s="7" t="n">
        <v>57.6</v>
      </c>
      <c r="I20" s="8" t="n">
        <f aca="false">MAX(G20-H20,0)</f>
        <v>38.4</v>
      </c>
      <c r="J20" s="4" t="n">
        <f aca="false">I20*C20</f>
        <v>244.224</v>
      </c>
    </row>
    <row r="21" customFormat="false" ht="15" hidden="false" customHeight="false" outlineLevel="0" collapsed="false">
      <c r="A21" s="2" t="s">
        <v>48</v>
      </c>
      <c r="B21" s="2" t="s">
        <v>49</v>
      </c>
      <c r="C21" s="3" t="n">
        <v>2.34</v>
      </c>
      <c r="D21" s="3" t="n">
        <v>3.57</v>
      </c>
      <c r="E21" s="4" t="n">
        <f aca="false">D21-C21</f>
        <v>1.23</v>
      </c>
      <c r="F21" s="5" t="n">
        <f aca="false">E21/D21</f>
        <v>0.34453781512605</v>
      </c>
      <c r="G21" s="6" t="n">
        <v>123</v>
      </c>
      <c r="H21" s="7" t="n">
        <v>55.91</v>
      </c>
      <c r="I21" s="8" t="n">
        <f aca="false">MAX(G21-H21,0)</f>
        <v>67.09</v>
      </c>
      <c r="J21" s="4" t="n">
        <f aca="false">I21*C21</f>
        <v>156.9906</v>
      </c>
    </row>
    <row r="22" customFormat="false" ht="15" hidden="false" customHeight="false" outlineLevel="0" collapsed="false">
      <c r="A22" s="2" t="s">
        <v>50</v>
      </c>
      <c r="B22" s="2" t="s">
        <v>51</v>
      </c>
      <c r="C22" s="3" t="n">
        <v>9.74</v>
      </c>
      <c r="D22" s="3" t="n">
        <v>15.62</v>
      </c>
      <c r="E22" s="4" t="n">
        <f aca="false">D22-C22</f>
        <v>5.88</v>
      </c>
      <c r="F22" s="5" t="n">
        <f aca="false">E22/D22</f>
        <v>0.376440460947503</v>
      </c>
      <c r="G22" s="6" t="n">
        <v>405</v>
      </c>
      <c r="H22" s="7" t="n">
        <v>154.29</v>
      </c>
      <c r="I22" s="8" t="n">
        <f aca="false">MAX(G22-H22,0)</f>
        <v>250.71</v>
      </c>
      <c r="J22" s="4" t="n">
        <f aca="false">I22*C22</f>
        <v>2441.9154</v>
      </c>
    </row>
    <row r="23" customFormat="false" ht="15" hidden="false" customHeight="false" outlineLevel="0" collapsed="false">
      <c r="A23" s="2" t="s">
        <v>52</v>
      </c>
      <c r="B23" s="2" t="s">
        <v>53</v>
      </c>
      <c r="C23" s="3" t="n">
        <v>2.4</v>
      </c>
      <c r="D23" s="3" t="n">
        <v>3.42</v>
      </c>
      <c r="E23" s="4" t="n">
        <f aca="false">D23-C23</f>
        <v>1.02</v>
      </c>
      <c r="F23" s="5" t="n">
        <f aca="false">E23/D23</f>
        <v>0.298245614035088</v>
      </c>
      <c r="G23" s="6" t="n">
        <v>685</v>
      </c>
      <c r="H23" s="7" t="n">
        <v>315.46</v>
      </c>
      <c r="I23" s="8" t="n">
        <f aca="false">MAX(G23-H23,0)</f>
        <v>369.54</v>
      </c>
      <c r="J23" s="4" t="n">
        <f aca="false">I23*C23</f>
        <v>886.896</v>
      </c>
    </row>
    <row r="24" customFormat="false" ht="15" hidden="false" customHeight="false" outlineLevel="0" collapsed="false">
      <c r="A24" s="2" t="s">
        <v>54</v>
      </c>
      <c r="B24" s="2" t="s">
        <v>55</v>
      </c>
      <c r="C24" s="3" t="n">
        <v>4.09</v>
      </c>
      <c r="D24" s="3" t="n">
        <v>6.47</v>
      </c>
      <c r="E24" s="4" t="n">
        <f aca="false">D24-C24</f>
        <v>2.38</v>
      </c>
      <c r="F24" s="5" t="n">
        <f aca="false">E24/D24</f>
        <v>0.367851622874807</v>
      </c>
      <c r="G24" s="6" t="n">
        <v>18</v>
      </c>
      <c r="H24" s="7" t="n">
        <v>10.38</v>
      </c>
      <c r="I24" s="8" t="n">
        <f aca="false">MAX(G24-H24,0)</f>
        <v>7.62</v>
      </c>
      <c r="J24" s="4" t="n">
        <f aca="false">I24*C24</f>
        <v>31.1658</v>
      </c>
    </row>
    <row r="25" customFormat="false" ht="15" hidden="false" customHeight="false" outlineLevel="0" collapsed="false">
      <c r="A25" s="2" t="s">
        <v>56</v>
      </c>
      <c r="B25" s="2" t="s">
        <v>57</v>
      </c>
      <c r="C25" s="3" t="n">
        <v>12.13</v>
      </c>
      <c r="D25" s="3" t="n">
        <v>19.02</v>
      </c>
      <c r="E25" s="4" t="n">
        <f aca="false">D25-C25</f>
        <v>6.89</v>
      </c>
      <c r="F25" s="5" t="n">
        <f aca="false">E25/D25</f>
        <v>0.362250262881178</v>
      </c>
      <c r="G25" s="6" t="n">
        <v>56</v>
      </c>
      <c r="H25" s="7" t="n">
        <v>31.11</v>
      </c>
      <c r="I25" s="8" t="n">
        <f aca="false">MAX(G25-H25,0)</f>
        <v>24.89</v>
      </c>
      <c r="J25" s="4" t="n">
        <f aca="false">I25*C25</f>
        <v>301.9157</v>
      </c>
    </row>
    <row r="26" customFormat="false" ht="15" hidden="false" customHeight="false" outlineLevel="0" collapsed="false">
      <c r="A26" s="2" t="s">
        <v>58</v>
      </c>
      <c r="B26" s="2" t="s">
        <v>59</v>
      </c>
      <c r="C26" s="3" t="n">
        <v>14.95</v>
      </c>
      <c r="D26" s="3" t="n">
        <v>25.04</v>
      </c>
      <c r="E26" s="4" t="n">
        <f aca="false">D26-C26</f>
        <v>10.09</v>
      </c>
      <c r="F26" s="5" t="n">
        <f aca="false">E26/D26</f>
        <v>0.402955271565495</v>
      </c>
      <c r="G26" s="6" t="n">
        <v>184</v>
      </c>
      <c r="H26" s="7" t="n">
        <v>108.24</v>
      </c>
      <c r="I26" s="8" t="n">
        <f aca="false">MAX(G26-H26,0)</f>
        <v>75.76</v>
      </c>
      <c r="J26" s="4" t="n">
        <f aca="false">I26*C26</f>
        <v>1132.612</v>
      </c>
    </row>
    <row r="27" customFormat="false" ht="15" hidden="false" customHeight="false" outlineLevel="0" collapsed="false">
      <c r="A27" s="2" t="s">
        <v>60</v>
      </c>
      <c r="B27" s="2" t="s">
        <v>61</v>
      </c>
      <c r="C27" s="3" t="n">
        <v>3.14</v>
      </c>
      <c r="D27" s="3" t="n">
        <v>5.43</v>
      </c>
      <c r="E27" s="4" t="n">
        <f aca="false">D27-C27</f>
        <v>2.29</v>
      </c>
      <c r="F27" s="5" t="n">
        <f aca="false">E27/D27</f>
        <v>0.421731123388582</v>
      </c>
      <c r="G27" s="6" t="n">
        <v>71</v>
      </c>
      <c r="H27" s="7" t="n">
        <v>46.3</v>
      </c>
      <c r="I27" s="8" t="n">
        <f aca="false">MAX(G27-H27,0)</f>
        <v>24.7</v>
      </c>
      <c r="J27" s="4" t="n">
        <f aca="false">I27*C27</f>
        <v>77.558</v>
      </c>
    </row>
    <row r="28" customFormat="false" ht="15" hidden="false" customHeight="false" outlineLevel="0" collapsed="false">
      <c r="A28" s="2" t="s">
        <v>62</v>
      </c>
      <c r="B28" s="2" t="s">
        <v>63</v>
      </c>
      <c r="C28" s="3" t="n">
        <v>6.2</v>
      </c>
      <c r="D28" s="3" t="n">
        <v>10.79</v>
      </c>
      <c r="E28" s="4" t="n">
        <f aca="false">D28-C28</f>
        <v>4.59</v>
      </c>
      <c r="F28" s="5" t="n">
        <f aca="false">E28/D28</f>
        <v>0.425393883225209</v>
      </c>
      <c r="G28" s="6" t="n">
        <v>13</v>
      </c>
      <c r="H28" s="7" t="n">
        <v>6.5</v>
      </c>
      <c r="I28" s="8" t="n">
        <f aca="false">MAX(G28-H28,0)</f>
        <v>6.5</v>
      </c>
      <c r="J28" s="4" t="n">
        <f aca="false">I28*C28</f>
        <v>40.3</v>
      </c>
    </row>
    <row r="29" customFormat="false" ht="15" hidden="false" customHeight="false" outlineLevel="0" collapsed="false">
      <c r="A29" s="2" t="s">
        <v>64</v>
      </c>
      <c r="B29" s="2" t="s">
        <v>65</v>
      </c>
      <c r="C29" s="3" t="n">
        <v>8.44</v>
      </c>
      <c r="D29" s="3" t="n">
        <v>15.22</v>
      </c>
      <c r="E29" s="4" t="n">
        <f aca="false">D29-C29</f>
        <v>6.78</v>
      </c>
      <c r="F29" s="5" t="n">
        <f aca="false">E29/D29</f>
        <v>0.445466491458607</v>
      </c>
      <c r="G29" s="6" t="n">
        <v>59</v>
      </c>
      <c r="H29" s="7" t="n">
        <v>42.14</v>
      </c>
      <c r="I29" s="8" t="n">
        <f aca="false">MAX(G29-H29,0)</f>
        <v>16.86</v>
      </c>
      <c r="J29" s="4" t="n">
        <f aca="false">I29*C29</f>
        <v>142.2984</v>
      </c>
    </row>
    <row r="30" customFormat="false" ht="15" hidden="false" customHeight="false" outlineLevel="0" collapsed="false">
      <c r="A30" s="2" t="s">
        <v>66</v>
      </c>
      <c r="B30" s="2" t="s">
        <v>67</v>
      </c>
      <c r="C30" s="3" t="n">
        <v>9.01</v>
      </c>
      <c r="D30" s="3" t="n">
        <v>14.25</v>
      </c>
      <c r="E30" s="4" t="n">
        <f aca="false">D30-C30</f>
        <v>5.24</v>
      </c>
      <c r="F30" s="5" t="n">
        <f aca="false">E30/D30</f>
        <v>0.367719298245614</v>
      </c>
      <c r="G30" s="6" t="n">
        <v>179</v>
      </c>
      <c r="H30" s="7" t="n">
        <v>83.26</v>
      </c>
      <c r="I30" s="8" t="n">
        <f aca="false">MAX(G30-H30,0)</f>
        <v>95.74</v>
      </c>
      <c r="J30" s="4" t="n">
        <f aca="false">I30*C30</f>
        <v>862.6174</v>
      </c>
    </row>
    <row r="31" customFormat="false" ht="15" hidden="false" customHeight="false" outlineLevel="0" collapsed="false">
      <c r="A31" s="2" t="s">
        <v>68</v>
      </c>
      <c r="B31" s="2" t="s">
        <v>69</v>
      </c>
      <c r="C31" s="3" t="n">
        <v>1.33</v>
      </c>
      <c r="D31" s="3" t="n">
        <v>1.9</v>
      </c>
      <c r="E31" s="4" t="n">
        <f aca="false">D31-C31</f>
        <v>0.57</v>
      </c>
      <c r="F31" s="5" t="n">
        <f aca="false">E31/D31</f>
        <v>0.3</v>
      </c>
      <c r="G31" s="6" t="n">
        <v>820</v>
      </c>
      <c r="H31" s="7" t="n">
        <v>473.08</v>
      </c>
      <c r="I31" s="8" t="n">
        <f aca="false">MAX(G31-H31,0)</f>
        <v>346.92</v>
      </c>
      <c r="J31" s="4" t="n">
        <f aca="false">I31*C31</f>
        <v>461.4036</v>
      </c>
    </row>
    <row r="32" customFormat="false" ht="15" hidden="false" customHeight="false" outlineLevel="0" collapsed="false">
      <c r="A32" s="2" t="s">
        <v>70</v>
      </c>
      <c r="B32" s="2" t="s">
        <v>71</v>
      </c>
      <c r="C32" s="3" t="n">
        <v>2.05</v>
      </c>
      <c r="D32" s="3" t="n">
        <v>3</v>
      </c>
      <c r="E32" s="4" t="n">
        <f aca="false">D32-C32</f>
        <v>0.95</v>
      </c>
      <c r="F32" s="5" t="n">
        <f aca="false">E32/D32</f>
        <v>0.316666666666667</v>
      </c>
      <c r="G32" s="6" t="n">
        <v>689</v>
      </c>
      <c r="H32" s="7" t="n">
        <v>430.62</v>
      </c>
      <c r="I32" s="8" t="n">
        <f aca="false">MAX(G32-H32,0)</f>
        <v>258.38</v>
      </c>
      <c r="J32" s="4" t="n">
        <f aca="false">I32*C32</f>
        <v>529.679</v>
      </c>
    </row>
    <row r="33" customFormat="false" ht="15" hidden="false" customHeight="false" outlineLevel="0" collapsed="false">
      <c r="A33" s="2" t="s">
        <v>72</v>
      </c>
      <c r="B33" s="2" t="s">
        <v>73</v>
      </c>
      <c r="C33" s="3" t="n">
        <v>1.8</v>
      </c>
      <c r="D33" s="3" t="n">
        <v>3.12</v>
      </c>
      <c r="E33" s="4" t="n">
        <f aca="false">D33-C33</f>
        <v>1.32</v>
      </c>
      <c r="F33" s="5" t="n">
        <f aca="false">E33/D33</f>
        <v>0.423076923076923</v>
      </c>
      <c r="G33" s="6" t="n">
        <v>63</v>
      </c>
      <c r="H33" s="7" t="n">
        <v>35</v>
      </c>
      <c r="I33" s="8" t="n">
        <f aca="false">MAX(G33-H33,0)</f>
        <v>28</v>
      </c>
      <c r="J33" s="4" t="n">
        <f aca="false">I33*C33</f>
        <v>50.4</v>
      </c>
    </row>
    <row r="34" customFormat="false" ht="15" hidden="false" customHeight="false" outlineLevel="0" collapsed="false">
      <c r="A34" s="2" t="s">
        <v>74</v>
      </c>
      <c r="B34" s="2" t="s">
        <v>75</v>
      </c>
      <c r="C34" s="3" t="n">
        <v>12.91</v>
      </c>
      <c r="D34" s="3" t="n">
        <v>21.63</v>
      </c>
      <c r="E34" s="4" t="n">
        <f aca="false">D34-C34</f>
        <v>8.72</v>
      </c>
      <c r="F34" s="5" t="n">
        <f aca="false">E34/D34</f>
        <v>0.403143781784558</v>
      </c>
      <c r="G34" s="6" t="n">
        <v>220</v>
      </c>
      <c r="H34" s="7" t="n">
        <v>146.67</v>
      </c>
      <c r="I34" s="8" t="n">
        <f aca="false">MAX(G34-H34,0)</f>
        <v>73.33</v>
      </c>
      <c r="J34" s="4" t="n">
        <f aca="false">I34*C34</f>
        <v>946.6903</v>
      </c>
    </row>
    <row r="35" customFormat="false" ht="15" hidden="false" customHeight="false" outlineLevel="0" collapsed="false">
      <c r="A35" s="2" t="s">
        <v>76</v>
      </c>
      <c r="B35" s="2" t="s">
        <v>77</v>
      </c>
      <c r="C35" s="3" t="n">
        <v>2.26</v>
      </c>
      <c r="D35" s="3" t="n">
        <v>3.36</v>
      </c>
      <c r="E35" s="4" t="n">
        <f aca="false">D35-C35</f>
        <v>1.1</v>
      </c>
      <c r="F35" s="5" t="n">
        <f aca="false">E35/D35</f>
        <v>0.327380952380952</v>
      </c>
      <c r="G35" s="6" t="n">
        <v>47</v>
      </c>
      <c r="H35" s="7" t="n">
        <v>25.18</v>
      </c>
      <c r="I35" s="8" t="n">
        <f aca="false">MAX(G35-H35,0)</f>
        <v>21.82</v>
      </c>
      <c r="J35" s="4" t="n">
        <f aca="false">I35*C35</f>
        <v>49.3132</v>
      </c>
    </row>
    <row r="36" customFormat="false" ht="15" hidden="false" customHeight="false" outlineLevel="0" collapsed="false">
      <c r="A36" s="2" t="s">
        <v>78</v>
      </c>
      <c r="B36" s="2" t="s">
        <v>79</v>
      </c>
      <c r="C36" s="3" t="n">
        <v>0.73</v>
      </c>
      <c r="D36" s="3" t="n">
        <v>1.15</v>
      </c>
      <c r="E36" s="4" t="n">
        <f aca="false">D36-C36</f>
        <v>0.42</v>
      </c>
      <c r="F36" s="5" t="n">
        <f aca="false">E36/D36</f>
        <v>0.365217391304348</v>
      </c>
      <c r="G36" s="6" t="n">
        <v>173</v>
      </c>
      <c r="H36" s="7" t="n">
        <v>75.22</v>
      </c>
      <c r="I36" s="8" t="n">
        <f aca="false">MAX(G36-H36,0)</f>
        <v>97.78</v>
      </c>
      <c r="J36" s="4" t="n">
        <f aca="false">I36*C36</f>
        <v>71.3794</v>
      </c>
    </row>
    <row r="37" customFormat="false" ht="15" hidden="false" customHeight="false" outlineLevel="0" collapsed="false">
      <c r="A37" s="2" t="s">
        <v>80</v>
      </c>
      <c r="B37" s="2" t="s">
        <v>81</v>
      </c>
      <c r="C37" s="3" t="n">
        <v>4.27</v>
      </c>
      <c r="D37" s="3" t="n">
        <v>7.94</v>
      </c>
      <c r="E37" s="4" t="n">
        <f aca="false">D37-C37</f>
        <v>3.67</v>
      </c>
      <c r="F37" s="5" t="n">
        <f aca="false">E37/D37</f>
        <v>0.462216624685139</v>
      </c>
      <c r="G37" s="6" t="n">
        <v>47</v>
      </c>
      <c r="H37" s="7" t="n">
        <v>23.5</v>
      </c>
      <c r="I37" s="8" t="n">
        <f aca="false">MAX(G37-H37,0)</f>
        <v>23.5</v>
      </c>
      <c r="J37" s="4" t="n">
        <f aca="false">I37*C37</f>
        <v>100.345</v>
      </c>
    </row>
    <row r="38" customFormat="false" ht="15" hidden="false" customHeight="false" outlineLevel="0" collapsed="false">
      <c r="A38" s="2" t="s">
        <v>82</v>
      </c>
      <c r="B38" s="2" t="s">
        <v>83</v>
      </c>
      <c r="C38" s="3" t="n">
        <v>2.48</v>
      </c>
      <c r="D38" s="3" t="n">
        <v>3.7</v>
      </c>
      <c r="E38" s="4" t="n">
        <f aca="false">D38-C38</f>
        <v>1.22</v>
      </c>
      <c r="F38" s="5" t="n">
        <f aca="false">E38/D38</f>
        <v>0.32972972972973</v>
      </c>
      <c r="G38" s="6" t="n">
        <v>90</v>
      </c>
      <c r="H38" s="7" t="n">
        <v>42.86</v>
      </c>
      <c r="I38" s="8" t="n">
        <f aca="false">MAX(G38-H38,0)</f>
        <v>47.14</v>
      </c>
      <c r="J38" s="4" t="n">
        <f aca="false">I38*C38</f>
        <v>116.9072</v>
      </c>
    </row>
    <row r="39" customFormat="false" ht="15" hidden="false" customHeight="false" outlineLevel="0" collapsed="false">
      <c r="A39" s="2" t="s">
        <v>84</v>
      </c>
      <c r="B39" s="2" t="s">
        <v>85</v>
      </c>
      <c r="C39" s="3" t="n">
        <v>1.12</v>
      </c>
      <c r="D39" s="3" t="n">
        <v>1.54</v>
      </c>
      <c r="E39" s="4" t="n">
        <f aca="false">D39-C39</f>
        <v>0.42</v>
      </c>
      <c r="F39" s="5" t="n">
        <f aca="false">E39/D39</f>
        <v>0.272727272727273</v>
      </c>
      <c r="G39" s="6" t="n">
        <v>1313</v>
      </c>
      <c r="H39" s="7" t="n">
        <v>703.39</v>
      </c>
      <c r="I39" s="8" t="n">
        <f aca="false">MAX(G39-H39,0)</f>
        <v>609.61</v>
      </c>
      <c r="J39" s="4" t="n">
        <f aca="false">I39*C39</f>
        <v>682.7632</v>
      </c>
    </row>
    <row r="40" customFormat="false" ht="15" hidden="false" customHeight="false" outlineLevel="0" collapsed="false">
      <c r="A40" s="2" t="s">
        <v>86</v>
      </c>
      <c r="B40" s="2" t="s">
        <v>87</v>
      </c>
      <c r="C40" s="3" t="n">
        <v>1.43</v>
      </c>
      <c r="D40" s="3" t="n">
        <v>2.09</v>
      </c>
      <c r="E40" s="4" t="n">
        <f aca="false">D40-C40</f>
        <v>0.66</v>
      </c>
      <c r="F40" s="5" t="n">
        <f aca="false">E40/D40</f>
        <v>0.315789473684211</v>
      </c>
      <c r="G40" s="6" t="n">
        <v>395</v>
      </c>
      <c r="H40" s="7" t="n">
        <v>246.88</v>
      </c>
      <c r="I40" s="8" t="n">
        <f aca="false">MAX(G40-H40,0)</f>
        <v>148.12</v>
      </c>
      <c r="J40" s="4" t="n">
        <f aca="false">I40*C40</f>
        <v>211.8116</v>
      </c>
    </row>
    <row r="41" customFormat="false" ht="15" hidden="false" customHeight="false" outlineLevel="0" collapsed="false">
      <c r="A41" s="2" t="s">
        <v>88</v>
      </c>
      <c r="B41" s="2" t="s">
        <v>89</v>
      </c>
      <c r="C41" s="3" t="n">
        <v>2.18</v>
      </c>
      <c r="D41" s="3" t="n">
        <v>3.24</v>
      </c>
      <c r="E41" s="4" t="n">
        <f aca="false">D41-C41</f>
        <v>1.06</v>
      </c>
      <c r="F41" s="5" t="n">
        <f aca="false">E41/D41</f>
        <v>0.327160493827161</v>
      </c>
      <c r="G41" s="6" t="n">
        <v>208</v>
      </c>
      <c r="H41" s="7" t="n">
        <v>141.82</v>
      </c>
      <c r="I41" s="8" t="n">
        <f aca="false">MAX(G41-H41,0)</f>
        <v>66.18</v>
      </c>
      <c r="J41" s="4" t="n">
        <f aca="false">I41*C41</f>
        <v>144.2724</v>
      </c>
    </row>
    <row r="42" customFormat="false" ht="15" hidden="false" customHeight="false" outlineLevel="0" collapsed="false">
      <c r="A42" s="2" t="s">
        <v>90</v>
      </c>
      <c r="B42" s="2" t="s">
        <v>91</v>
      </c>
      <c r="C42" s="3" t="n">
        <v>2.17</v>
      </c>
      <c r="D42" s="3" t="n">
        <v>3.97</v>
      </c>
      <c r="E42" s="4" t="n">
        <f aca="false">D42-C42</f>
        <v>1.8</v>
      </c>
      <c r="F42" s="5" t="n">
        <f aca="false">E42/D42</f>
        <v>0.453400503778338</v>
      </c>
      <c r="G42" s="6" t="n">
        <v>87</v>
      </c>
      <c r="H42" s="7" t="n">
        <v>45</v>
      </c>
      <c r="I42" s="8" t="n">
        <f aca="false">MAX(G42-H42,0)</f>
        <v>42</v>
      </c>
      <c r="J42" s="4" t="n">
        <f aca="false">I42*C42</f>
        <v>91.14</v>
      </c>
    </row>
    <row r="43" customFormat="false" ht="15" hidden="false" customHeight="false" outlineLevel="0" collapsed="false">
      <c r="A43" s="2" t="s">
        <v>92</v>
      </c>
      <c r="B43" s="2" t="s">
        <v>93</v>
      </c>
      <c r="C43" s="3" t="n">
        <v>2.51</v>
      </c>
      <c r="D43" s="3" t="n">
        <v>3.54</v>
      </c>
      <c r="E43" s="4" t="n">
        <f aca="false">D43-C43</f>
        <v>1.03</v>
      </c>
      <c r="F43" s="5" t="n">
        <f aca="false">E43/D43</f>
        <v>0.290960451977401</v>
      </c>
      <c r="G43" s="6" t="n">
        <v>124</v>
      </c>
      <c r="H43" s="7" t="n">
        <v>65.26</v>
      </c>
      <c r="I43" s="8" t="n">
        <f aca="false">MAX(G43-H43,0)</f>
        <v>58.74</v>
      </c>
      <c r="J43" s="4" t="n">
        <f aca="false">I43*C43</f>
        <v>147.4374</v>
      </c>
    </row>
    <row r="44" customFormat="false" ht="15" hidden="false" customHeight="false" outlineLevel="0" collapsed="false">
      <c r="A44" s="2" t="s">
        <v>94</v>
      </c>
      <c r="B44" s="2" t="s">
        <v>95</v>
      </c>
      <c r="C44" s="3" t="n">
        <v>0.82</v>
      </c>
      <c r="D44" s="3" t="n">
        <v>1.07</v>
      </c>
      <c r="E44" s="4" t="n">
        <f aca="false">D44-C44</f>
        <v>0.25</v>
      </c>
      <c r="F44" s="5" t="n">
        <f aca="false">E44/D44</f>
        <v>0.233644859813084</v>
      </c>
      <c r="G44" s="6" t="n">
        <v>496</v>
      </c>
      <c r="H44" s="7" t="n">
        <v>275.56</v>
      </c>
      <c r="I44" s="8" t="n">
        <f aca="false">MAX(G44-H44,0)</f>
        <v>220.44</v>
      </c>
      <c r="J44" s="4" t="n">
        <f aca="false">I44*C44</f>
        <v>180.7608</v>
      </c>
    </row>
    <row r="45" customFormat="false" ht="15" hidden="false" customHeight="false" outlineLevel="0" collapsed="false">
      <c r="A45" s="2" t="s">
        <v>96</v>
      </c>
      <c r="B45" s="2" t="s">
        <v>97</v>
      </c>
      <c r="C45" s="3" t="n">
        <v>1.5</v>
      </c>
      <c r="D45" s="3" t="n">
        <v>2.37</v>
      </c>
      <c r="E45" s="4" t="n">
        <f aca="false">D45-C45</f>
        <v>0.87</v>
      </c>
      <c r="F45" s="5" t="n">
        <f aca="false">E45/D45</f>
        <v>0.367088607594937</v>
      </c>
      <c r="G45" s="6" t="n">
        <v>157</v>
      </c>
      <c r="H45" s="7" t="n">
        <v>78.5</v>
      </c>
      <c r="I45" s="8" t="n">
        <f aca="false">MAX(G45-H45,0)</f>
        <v>78.5</v>
      </c>
      <c r="J45" s="4" t="n">
        <f aca="false">I45*C45</f>
        <v>117.75</v>
      </c>
    </row>
    <row r="46" customFormat="false" ht="15" hidden="false" customHeight="false" outlineLevel="0" collapsed="false">
      <c r="A46" s="2" t="s">
        <v>98</v>
      </c>
      <c r="B46" s="2" t="s">
        <v>99</v>
      </c>
      <c r="C46" s="3" t="n">
        <v>0.9</v>
      </c>
      <c r="D46" s="3" t="n">
        <v>1.26</v>
      </c>
      <c r="E46" s="4" t="n">
        <f aca="false">D46-C46</f>
        <v>0.36</v>
      </c>
      <c r="F46" s="5" t="n">
        <f aca="false">E46/D46</f>
        <v>0.285714285714286</v>
      </c>
      <c r="G46" s="6" t="n">
        <v>557</v>
      </c>
      <c r="H46" s="7" t="n">
        <v>363.26</v>
      </c>
      <c r="I46" s="8" t="n">
        <f aca="false">MAX(G46-H46,0)</f>
        <v>193.74</v>
      </c>
      <c r="J46" s="4" t="n">
        <f aca="false">I46*C46</f>
        <v>174.366</v>
      </c>
    </row>
    <row r="47" customFormat="false" ht="15" hidden="false" customHeight="false" outlineLevel="0" collapsed="false">
      <c r="A47" s="2" t="s">
        <v>100</v>
      </c>
      <c r="B47" s="2" t="s">
        <v>101</v>
      </c>
      <c r="C47" s="3" t="n">
        <v>1.99</v>
      </c>
      <c r="D47" s="3" t="n">
        <v>2.96</v>
      </c>
      <c r="E47" s="4" t="n">
        <f aca="false">D47-C47</f>
        <v>0.97</v>
      </c>
      <c r="F47" s="5" t="n">
        <f aca="false">E47/D47</f>
        <v>0.327702702702703</v>
      </c>
      <c r="G47" s="6" t="n">
        <v>907</v>
      </c>
      <c r="H47" s="7" t="n">
        <v>523.27</v>
      </c>
      <c r="I47" s="8" t="n">
        <f aca="false">MAX(G47-H47,0)</f>
        <v>383.73</v>
      </c>
      <c r="J47" s="4" t="n">
        <f aca="false">I47*C47</f>
        <v>763.6227</v>
      </c>
    </row>
    <row r="48" customFormat="false" ht="15" hidden="false" customHeight="false" outlineLevel="0" collapsed="false">
      <c r="A48" s="2" t="s">
        <v>102</v>
      </c>
      <c r="B48" s="2" t="s">
        <v>103</v>
      </c>
      <c r="C48" s="3" t="n">
        <v>3.89</v>
      </c>
      <c r="D48" s="3" t="n">
        <v>6.64</v>
      </c>
      <c r="E48" s="4" t="n">
        <f aca="false">D48-C48</f>
        <v>2.75</v>
      </c>
      <c r="F48" s="5" t="n">
        <f aca="false">E48/D48</f>
        <v>0.414156626506024</v>
      </c>
      <c r="G48" s="6" t="n">
        <v>297</v>
      </c>
      <c r="H48" s="7" t="n">
        <v>159.11</v>
      </c>
      <c r="I48" s="8" t="n">
        <f aca="false">MAX(G48-H48,0)</f>
        <v>137.89</v>
      </c>
      <c r="J48" s="4" t="n">
        <f aca="false">I48*C48</f>
        <v>536.3921</v>
      </c>
    </row>
    <row r="49" customFormat="false" ht="15" hidden="false" customHeight="false" outlineLevel="0" collapsed="false">
      <c r="A49" s="2" t="s">
        <v>104</v>
      </c>
      <c r="B49" s="2" t="s">
        <v>105</v>
      </c>
      <c r="C49" s="3" t="n">
        <v>1.67</v>
      </c>
      <c r="D49" s="3" t="n">
        <v>2.44</v>
      </c>
      <c r="E49" s="4" t="n">
        <f aca="false">D49-C49</f>
        <v>0.77</v>
      </c>
      <c r="F49" s="5" t="n">
        <f aca="false">E49/D49</f>
        <v>0.315573770491803</v>
      </c>
      <c r="G49" s="6" t="n">
        <v>274</v>
      </c>
      <c r="H49" s="7" t="n">
        <v>171.25</v>
      </c>
      <c r="I49" s="8" t="n">
        <f aca="false">MAX(G49-H49,0)</f>
        <v>102.75</v>
      </c>
      <c r="J49" s="4" t="n">
        <f aca="false">I49*C49</f>
        <v>171.5925</v>
      </c>
    </row>
    <row r="50" customFormat="false" ht="15" hidden="false" customHeight="false" outlineLevel="0" collapsed="false">
      <c r="A50" s="2" t="s">
        <v>106</v>
      </c>
      <c r="B50" s="2" t="s">
        <v>107</v>
      </c>
      <c r="C50" s="3" t="n">
        <v>1.07</v>
      </c>
      <c r="D50" s="3" t="n">
        <v>1.63</v>
      </c>
      <c r="E50" s="4" t="n">
        <f aca="false">D50-C50</f>
        <v>0.56</v>
      </c>
      <c r="F50" s="5" t="n">
        <f aca="false">E50/D50</f>
        <v>0.343558282208589</v>
      </c>
      <c r="G50" s="6" t="n">
        <v>614</v>
      </c>
      <c r="H50" s="7" t="n">
        <v>383.75</v>
      </c>
      <c r="I50" s="8" t="n">
        <f aca="false">MAX(G50-H50,0)</f>
        <v>230.25</v>
      </c>
      <c r="J50" s="4" t="n">
        <f aca="false">I50*C50</f>
        <v>246.3675</v>
      </c>
    </row>
    <row r="51" customFormat="false" ht="15" hidden="false" customHeight="false" outlineLevel="0" collapsed="false">
      <c r="A51" s="2" t="s">
        <v>108</v>
      </c>
      <c r="B51" s="2" t="s">
        <v>109</v>
      </c>
      <c r="C51" s="3" t="n">
        <v>1.86</v>
      </c>
      <c r="D51" s="3" t="n">
        <v>2.54</v>
      </c>
      <c r="E51" s="4" t="n">
        <f aca="false">D51-C51</f>
        <v>0.68</v>
      </c>
      <c r="F51" s="5" t="n">
        <f aca="false">E51/D51</f>
        <v>0.267716535433071</v>
      </c>
      <c r="G51" s="6" t="n">
        <v>228</v>
      </c>
      <c r="H51" s="7" t="n">
        <v>198.26</v>
      </c>
      <c r="I51" s="8" t="n">
        <f aca="false">MAX(G51-H51,0)</f>
        <v>29.74</v>
      </c>
      <c r="J51" s="4" t="n">
        <f aca="false">I51*C51</f>
        <v>55.3164</v>
      </c>
    </row>
    <row r="52" customFormat="false" ht="15" hidden="false" customHeight="false" outlineLevel="0" collapsed="false">
      <c r="A52" s="2" t="s">
        <v>110</v>
      </c>
      <c r="B52" s="2" t="s">
        <v>111</v>
      </c>
      <c r="C52" s="3" t="n">
        <v>2.44</v>
      </c>
      <c r="D52" s="3" t="n">
        <v>3.62</v>
      </c>
      <c r="E52" s="4" t="n">
        <f aca="false">D52-C52</f>
        <v>1.18</v>
      </c>
      <c r="F52" s="5" t="n">
        <f aca="false">E52/D52</f>
        <v>0.325966850828729</v>
      </c>
      <c r="G52" s="6" t="n">
        <v>0</v>
      </c>
      <c r="H52" s="7" t="n">
        <v>0</v>
      </c>
      <c r="I52" s="8" t="n">
        <f aca="false">MAX(G52-H52,0)</f>
        <v>0</v>
      </c>
      <c r="J52" s="4" t="n">
        <f aca="false">I52*C52</f>
        <v>0</v>
      </c>
    </row>
    <row r="53" customFormat="false" ht="15" hidden="false" customHeight="false" outlineLevel="0" collapsed="false">
      <c r="A53" s="2" t="s">
        <v>112</v>
      </c>
      <c r="B53" s="2" t="s">
        <v>113</v>
      </c>
      <c r="C53" s="3" t="n">
        <v>1.23</v>
      </c>
      <c r="D53" s="3" t="n">
        <v>1.7</v>
      </c>
      <c r="E53" s="4" t="n">
        <f aca="false">D53-C53</f>
        <v>0.47</v>
      </c>
      <c r="F53" s="5" t="n">
        <f aca="false">E53/D53</f>
        <v>0.276470588235294</v>
      </c>
      <c r="G53" s="6" t="n">
        <v>43</v>
      </c>
      <c r="H53" s="7" t="n">
        <v>23.89</v>
      </c>
      <c r="I53" s="8" t="n">
        <f aca="false">MAX(G53-H53,0)</f>
        <v>19.11</v>
      </c>
      <c r="J53" s="4" t="n">
        <f aca="false">I53*C53</f>
        <v>23.5053</v>
      </c>
    </row>
    <row r="54" customFormat="false" ht="15" hidden="false" customHeight="false" outlineLevel="0" collapsed="false">
      <c r="A54" s="2" t="s">
        <v>114</v>
      </c>
      <c r="B54" s="2" t="s">
        <v>115</v>
      </c>
      <c r="C54" s="3" t="n">
        <v>1.26</v>
      </c>
      <c r="D54" s="3" t="n">
        <v>1.83</v>
      </c>
      <c r="E54" s="4" t="n">
        <f aca="false">D54-C54</f>
        <v>0.57</v>
      </c>
      <c r="F54" s="5" t="n">
        <f aca="false">E54/D54</f>
        <v>0.311475409836066</v>
      </c>
      <c r="G54" s="6" t="n">
        <v>82</v>
      </c>
      <c r="H54" s="7" t="n">
        <v>55.91</v>
      </c>
      <c r="I54" s="8" t="n">
        <f aca="false">MAX(G54-H54,0)</f>
        <v>26.09</v>
      </c>
      <c r="J54" s="4" t="n">
        <f aca="false">I54*C54</f>
        <v>32.8734</v>
      </c>
    </row>
    <row r="55" customFormat="false" ht="15" hidden="false" customHeight="false" outlineLevel="0" collapsed="false">
      <c r="A55" s="2" t="s">
        <v>116</v>
      </c>
      <c r="B55" s="2" t="s">
        <v>117</v>
      </c>
      <c r="C55" s="3" t="n">
        <v>1.66</v>
      </c>
      <c r="D55" s="3" t="n">
        <v>2.43</v>
      </c>
      <c r="E55" s="4" t="n">
        <f aca="false">D55-C55</f>
        <v>0.77</v>
      </c>
      <c r="F55" s="5" t="n">
        <f aca="false">E55/D55</f>
        <v>0.316872427983539</v>
      </c>
      <c r="G55" s="6" t="n">
        <v>206</v>
      </c>
      <c r="H55" s="7" t="n">
        <v>121.18</v>
      </c>
      <c r="I55" s="8" t="n">
        <f aca="false">MAX(G55-H55,0)</f>
        <v>84.82</v>
      </c>
      <c r="J55" s="4" t="n">
        <f aca="false">I55*C55</f>
        <v>140.8012</v>
      </c>
    </row>
    <row r="56" customFormat="false" ht="15" hidden="false" customHeight="false" outlineLevel="0" collapsed="false">
      <c r="A56" s="2" t="s">
        <v>118</v>
      </c>
      <c r="B56" s="2" t="s">
        <v>119</v>
      </c>
      <c r="C56" s="3" t="n">
        <v>1.61</v>
      </c>
      <c r="D56" s="3" t="n">
        <v>2.21</v>
      </c>
      <c r="E56" s="4" t="n">
        <f aca="false">D56-C56</f>
        <v>0.6</v>
      </c>
      <c r="F56" s="5" t="n">
        <f aca="false">E56/D56</f>
        <v>0.271493212669683</v>
      </c>
      <c r="G56" s="6" t="n">
        <v>200</v>
      </c>
      <c r="H56" s="7" t="n">
        <v>85.71</v>
      </c>
      <c r="I56" s="8" t="n">
        <f aca="false">MAX(G56-H56,0)</f>
        <v>114.29</v>
      </c>
      <c r="J56" s="4" t="n">
        <f aca="false">I56*C56</f>
        <v>184.0069</v>
      </c>
    </row>
    <row r="57" customFormat="false" ht="15" hidden="false" customHeight="false" outlineLevel="0" collapsed="false">
      <c r="A57" s="2" t="s">
        <v>120</v>
      </c>
      <c r="B57" s="2" t="s">
        <v>121</v>
      </c>
      <c r="C57" s="3" t="n">
        <v>2.44</v>
      </c>
      <c r="D57" s="3" t="n">
        <v>3.29</v>
      </c>
      <c r="E57" s="4" t="n">
        <f aca="false">D57-C57</f>
        <v>0.85</v>
      </c>
      <c r="F57" s="5" t="n">
        <f aca="false">E57/D57</f>
        <v>0.258358662613982</v>
      </c>
      <c r="G57" s="6" t="n">
        <v>331</v>
      </c>
      <c r="H57" s="7" t="n">
        <v>118.21</v>
      </c>
      <c r="I57" s="8" t="n">
        <f aca="false">MAX(G57-H57,0)</f>
        <v>212.79</v>
      </c>
      <c r="J57" s="4" t="n">
        <f aca="false">I57*C57</f>
        <v>519.2076</v>
      </c>
    </row>
    <row r="58" customFormat="false" ht="15" hidden="false" customHeight="false" outlineLevel="0" collapsed="false">
      <c r="A58" s="2" t="s">
        <v>122</v>
      </c>
      <c r="B58" s="2" t="s">
        <v>123</v>
      </c>
      <c r="C58" s="3" t="n">
        <v>0.61</v>
      </c>
      <c r="D58" s="3" t="n">
        <v>0.82</v>
      </c>
      <c r="E58" s="4" t="n">
        <f aca="false">D58-C58</f>
        <v>0.21</v>
      </c>
      <c r="F58" s="5" t="n">
        <f aca="false">E58/D58</f>
        <v>0.25609756097561</v>
      </c>
      <c r="G58" s="6" t="n">
        <v>236</v>
      </c>
      <c r="H58" s="7" t="n">
        <v>94.4</v>
      </c>
      <c r="I58" s="8" t="n">
        <f aca="false">MAX(G58-H58,0)</f>
        <v>141.6</v>
      </c>
      <c r="J58" s="4" t="n">
        <f aca="false">I58*C58</f>
        <v>86.376</v>
      </c>
    </row>
    <row r="59" customFormat="false" ht="15" hidden="false" customHeight="false" outlineLevel="0" collapsed="false">
      <c r="A59" s="2" t="s">
        <v>124</v>
      </c>
      <c r="B59" s="2" t="s">
        <v>125</v>
      </c>
      <c r="C59" s="3" t="n">
        <v>0.81</v>
      </c>
      <c r="D59" s="3" t="n">
        <v>1.21</v>
      </c>
      <c r="E59" s="4" t="n">
        <f aca="false">D59-C59</f>
        <v>0.4</v>
      </c>
      <c r="F59" s="5" t="n">
        <f aca="false">E59/D59</f>
        <v>0.330578512396694</v>
      </c>
      <c r="G59" s="6" t="n">
        <v>60</v>
      </c>
      <c r="H59" s="7" t="n">
        <v>15</v>
      </c>
      <c r="I59" s="8" t="n">
        <f aca="false">MAX(G59-H59,0)</f>
        <v>45</v>
      </c>
      <c r="J59" s="4" t="n">
        <f aca="false">I59*C59</f>
        <v>36.45</v>
      </c>
    </row>
    <row r="60" customFormat="false" ht="15" hidden="false" customHeight="false" outlineLevel="0" collapsed="false">
      <c r="A60" s="2" t="s">
        <v>126</v>
      </c>
      <c r="B60" s="2" t="s">
        <v>127</v>
      </c>
      <c r="C60" s="3" t="n">
        <v>1.95</v>
      </c>
      <c r="D60" s="3" t="n">
        <v>2.8</v>
      </c>
      <c r="E60" s="4" t="n">
        <f aca="false">D60-C60</f>
        <v>0.85</v>
      </c>
      <c r="F60" s="5" t="n">
        <f aca="false">E60/D60</f>
        <v>0.303571428571429</v>
      </c>
      <c r="G60" s="6" t="n">
        <v>156</v>
      </c>
      <c r="H60" s="7" t="n">
        <v>137.65</v>
      </c>
      <c r="I60" s="8" t="n">
        <f aca="false">MAX(G60-H60,0)</f>
        <v>18.35</v>
      </c>
      <c r="J60" s="4" t="n">
        <f aca="false">I60*C60</f>
        <v>35.7825</v>
      </c>
    </row>
    <row r="61" customFormat="false" ht="15" hidden="false" customHeight="false" outlineLevel="0" collapsed="false">
      <c r="A61" s="2" t="s">
        <v>128</v>
      </c>
      <c r="B61" s="2" t="s">
        <v>129</v>
      </c>
      <c r="C61" s="3" t="n">
        <v>2.57</v>
      </c>
      <c r="D61" s="3" t="n">
        <v>3.7</v>
      </c>
      <c r="E61" s="4" t="n">
        <f aca="false">D61-C61</f>
        <v>1.13</v>
      </c>
      <c r="F61" s="5" t="n">
        <f aca="false">E61/D61</f>
        <v>0.305405405405406</v>
      </c>
      <c r="G61" s="6" t="n">
        <v>69</v>
      </c>
      <c r="H61" s="7" t="n">
        <v>43.12</v>
      </c>
      <c r="I61" s="8" t="n">
        <f aca="false">MAX(G61-H61,0)</f>
        <v>25.88</v>
      </c>
      <c r="J61" s="4" t="n">
        <f aca="false">I61*C61</f>
        <v>66.5116</v>
      </c>
    </row>
    <row r="62" customFormat="false" ht="15" hidden="false" customHeight="false" outlineLevel="0" collapsed="false">
      <c r="A62" s="2" t="s">
        <v>130</v>
      </c>
      <c r="B62" s="2" t="s">
        <v>131</v>
      </c>
      <c r="C62" s="3" t="n">
        <v>1.58</v>
      </c>
      <c r="D62" s="3" t="n">
        <v>2.25</v>
      </c>
      <c r="E62" s="4" t="n">
        <f aca="false">D62-C62</f>
        <v>0.67</v>
      </c>
      <c r="F62" s="5" t="n">
        <f aca="false">E62/D62</f>
        <v>0.297777777777778</v>
      </c>
      <c r="G62" s="6" t="n">
        <v>336</v>
      </c>
      <c r="H62" s="7" t="n">
        <v>298.67</v>
      </c>
      <c r="I62" s="8" t="n">
        <f aca="false">MAX(G62-H62,0)</f>
        <v>37.33</v>
      </c>
      <c r="J62" s="4" t="n">
        <f aca="false">I62*C62</f>
        <v>58.9814</v>
      </c>
    </row>
    <row r="63" customFormat="false" ht="15" hidden="false" customHeight="false" outlineLevel="0" collapsed="false">
      <c r="A63" s="2" t="s">
        <v>132</v>
      </c>
      <c r="B63" s="2" t="s">
        <v>133</v>
      </c>
      <c r="C63" s="3" t="n">
        <v>0.91</v>
      </c>
      <c r="D63" s="3" t="n">
        <v>1.31</v>
      </c>
      <c r="E63" s="4" t="n">
        <f aca="false">D63-C63</f>
        <v>0.4</v>
      </c>
      <c r="F63" s="5" t="n">
        <f aca="false">E63/D63</f>
        <v>0.305343511450382</v>
      </c>
      <c r="G63" s="6" t="n">
        <v>58</v>
      </c>
      <c r="H63" s="7" t="n">
        <v>29</v>
      </c>
      <c r="I63" s="8" t="n">
        <f aca="false">MAX(G63-H63,0)</f>
        <v>29</v>
      </c>
      <c r="J63" s="4" t="n">
        <f aca="false">I63*C63</f>
        <v>26.39</v>
      </c>
    </row>
    <row r="64" customFormat="false" ht="15" hidden="false" customHeight="false" outlineLevel="0" collapsed="false">
      <c r="A64" s="2" t="s">
        <v>134</v>
      </c>
      <c r="B64" s="2" t="s">
        <v>135</v>
      </c>
      <c r="C64" s="3" t="n">
        <v>1.51</v>
      </c>
      <c r="D64" s="3" t="n">
        <v>2.01</v>
      </c>
      <c r="E64" s="4" t="n">
        <f aca="false">D64-C64</f>
        <v>0.5</v>
      </c>
      <c r="F64" s="5" t="n">
        <f aca="false">E64/D64</f>
        <v>0.248756218905473</v>
      </c>
      <c r="G64" s="6" t="n">
        <v>165</v>
      </c>
      <c r="H64" s="7" t="n">
        <v>91.67</v>
      </c>
      <c r="I64" s="8" t="n">
        <f aca="false">MAX(G64-H64,0)</f>
        <v>73.33</v>
      </c>
      <c r="J64" s="4" t="n">
        <f aca="false">I64*C64</f>
        <v>110.7283</v>
      </c>
    </row>
    <row r="65" customFormat="false" ht="15" hidden="false" customHeight="false" outlineLevel="0" collapsed="false">
      <c r="A65" s="2" t="s">
        <v>136</v>
      </c>
      <c r="B65" s="2" t="s">
        <v>137</v>
      </c>
      <c r="C65" s="3" t="n">
        <v>0.85</v>
      </c>
      <c r="D65" s="3" t="n">
        <v>1.22</v>
      </c>
      <c r="E65" s="4" t="n">
        <f aca="false">D65-C65</f>
        <v>0.37</v>
      </c>
      <c r="F65" s="5" t="n">
        <f aca="false">E65/D65</f>
        <v>0.30327868852459</v>
      </c>
      <c r="G65" s="6" t="n">
        <v>227</v>
      </c>
      <c r="H65" s="7" t="n">
        <v>103.18</v>
      </c>
      <c r="I65" s="8" t="n">
        <f aca="false">MAX(G65-H65,0)</f>
        <v>123.82</v>
      </c>
      <c r="J65" s="4" t="n">
        <f aca="false">I65*C65</f>
        <v>105.247</v>
      </c>
    </row>
    <row r="66" customFormat="false" ht="15" hidden="false" customHeight="false" outlineLevel="0" collapsed="false">
      <c r="A66" s="2" t="s">
        <v>138</v>
      </c>
      <c r="B66" s="2" t="s">
        <v>139</v>
      </c>
      <c r="C66" s="3" t="n">
        <v>0.65</v>
      </c>
      <c r="D66" s="3" t="n">
        <v>0.83</v>
      </c>
      <c r="E66" s="4" t="n">
        <f aca="false">D66-C66</f>
        <v>0.18</v>
      </c>
      <c r="F66" s="5" t="n">
        <f aca="false">E66/D66</f>
        <v>0.216867469879518</v>
      </c>
      <c r="G66" s="6" t="n">
        <v>271</v>
      </c>
      <c r="H66" s="7" t="n">
        <v>145.18</v>
      </c>
      <c r="I66" s="8" t="n">
        <f aca="false">MAX(G66-H66,0)</f>
        <v>125.82</v>
      </c>
      <c r="J66" s="4" t="n">
        <f aca="false">I66*C66</f>
        <v>81.783</v>
      </c>
    </row>
    <row r="67" customFormat="false" ht="15" hidden="false" customHeight="false" outlineLevel="0" collapsed="false">
      <c r="A67" s="2" t="s">
        <v>140</v>
      </c>
      <c r="B67" s="2" t="s">
        <v>141</v>
      </c>
      <c r="C67" s="3" t="n">
        <v>2.26</v>
      </c>
      <c r="D67" s="3" t="n">
        <v>3.17</v>
      </c>
      <c r="E67" s="4" t="n">
        <f aca="false">D67-C67</f>
        <v>0.91</v>
      </c>
      <c r="F67" s="5" t="n">
        <f aca="false">E67/D67</f>
        <v>0.287066246056782</v>
      </c>
      <c r="G67" s="6" t="n">
        <v>136</v>
      </c>
      <c r="H67" s="7" t="n">
        <v>102</v>
      </c>
      <c r="I67" s="8" t="n">
        <f aca="false">MAX(G67-H67,0)</f>
        <v>34</v>
      </c>
      <c r="J67" s="4" t="n">
        <f aca="false">I67*C67</f>
        <v>76.84</v>
      </c>
    </row>
    <row r="68" customFormat="false" ht="15" hidden="false" customHeight="false" outlineLevel="0" collapsed="false">
      <c r="A68" s="2" t="s">
        <v>142</v>
      </c>
      <c r="B68" s="2" t="s">
        <v>143</v>
      </c>
      <c r="C68" s="3" t="n">
        <v>2.45</v>
      </c>
      <c r="D68" s="3" t="n">
        <v>3.53</v>
      </c>
      <c r="E68" s="4" t="n">
        <f aca="false">D68-C68</f>
        <v>1.08</v>
      </c>
      <c r="F68" s="5" t="n">
        <f aca="false">E68/D68</f>
        <v>0.305949008498584</v>
      </c>
      <c r="G68" s="6" t="n">
        <v>453</v>
      </c>
      <c r="H68" s="7" t="n">
        <v>242.68</v>
      </c>
      <c r="I68" s="8" t="n">
        <f aca="false">MAX(G68-H68,0)</f>
        <v>210.32</v>
      </c>
      <c r="J68" s="4" t="n">
        <f aca="false">I68*C68</f>
        <v>515.284</v>
      </c>
    </row>
    <row r="69" customFormat="false" ht="15" hidden="false" customHeight="false" outlineLevel="0" collapsed="false">
      <c r="A69" s="2" t="s">
        <v>144</v>
      </c>
      <c r="B69" s="2" t="s">
        <v>145</v>
      </c>
      <c r="C69" s="3" t="n">
        <v>1.81</v>
      </c>
      <c r="D69" s="3" t="n">
        <v>2.26</v>
      </c>
      <c r="E69" s="4" t="n">
        <f aca="false">D69-C69</f>
        <v>0.45</v>
      </c>
      <c r="F69" s="5" t="n">
        <f aca="false">E69/D69</f>
        <v>0.199115044247788</v>
      </c>
      <c r="G69" s="6" t="n">
        <v>378</v>
      </c>
      <c r="H69" s="7" t="n">
        <v>126</v>
      </c>
      <c r="I69" s="8" t="n">
        <f aca="false">MAX(G69-H69,0)</f>
        <v>252</v>
      </c>
      <c r="J69" s="4" t="n">
        <f aca="false">I69*C69</f>
        <v>456.12</v>
      </c>
    </row>
    <row r="70" customFormat="false" ht="15" hidden="false" customHeight="false" outlineLevel="0" collapsed="false">
      <c r="A70" s="2" t="s">
        <v>146</v>
      </c>
      <c r="B70" s="2" t="s">
        <v>147</v>
      </c>
      <c r="C70" s="3" t="n">
        <v>2.09</v>
      </c>
      <c r="D70" s="3" t="n">
        <v>3.1</v>
      </c>
      <c r="E70" s="4" t="n">
        <f aca="false">D70-C70</f>
        <v>1.01</v>
      </c>
      <c r="F70" s="5" t="n">
        <f aca="false">E70/D70</f>
        <v>0.325806451612903</v>
      </c>
      <c r="G70" s="6" t="n">
        <v>124</v>
      </c>
      <c r="H70" s="7" t="n">
        <v>99.2</v>
      </c>
      <c r="I70" s="8" t="n">
        <f aca="false">MAX(G70-H70,0)</f>
        <v>24.8</v>
      </c>
      <c r="J70" s="4" t="n">
        <f aca="false">I70*C70</f>
        <v>51.832</v>
      </c>
    </row>
    <row r="71" customFormat="false" ht="15" hidden="false" customHeight="false" outlineLevel="0" collapsed="false">
      <c r="A71" s="2" t="s">
        <v>148</v>
      </c>
      <c r="B71" s="2" t="s">
        <v>149</v>
      </c>
      <c r="C71" s="3" t="n">
        <v>0.71</v>
      </c>
      <c r="D71" s="3" t="n">
        <v>0.97</v>
      </c>
      <c r="E71" s="4" t="n">
        <f aca="false">D71-C71</f>
        <v>0.26</v>
      </c>
      <c r="F71" s="5" t="n">
        <f aca="false">E71/D71</f>
        <v>0.268041237113402</v>
      </c>
      <c r="G71" s="6" t="n">
        <v>43</v>
      </c>
      <c r="H71" s="7" t="n">
        <v>28.67</v>
      </c>
      <c r="I71" s="8" t="n">
        <f aca="false">MAX(G71-H71,0)</f>
        <v>14.33</v>
      </c>
      <c r="J71" s="4" t="n">
        <f aca="false">I71*C71</f>
        <v>10.1743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2026-08-11T11:13:50Z</dcterms:created>
  <dc:creator>openpyxl</dc:creator>
  <dc:description/>
  <dc:language>en-US</dc:language>
  <cp:lastModifiedBy/>
  <dcterms:modified xsi:type="dcterms:W3CDTF">2026-08-11T11:13:50Z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